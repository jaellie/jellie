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매요청" sheetId="1" state="visible" r:id="rId1"/>
    <sheet name="요약" sheetId="2" state="visible" r:id="rId2"/>
    <sheet name="기타 링크" sheetId="3" state="visible" r:id="rId3"/>
  </sheets>
  <definedNames>
    <definedName name="_xlnm._FilterDatabase" localSheetId="0" hidden="1">'구매요청'!$A$1:$K$4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2" fillId="0" borderId="1" applyAlignment="1" pivotButton="0" quotePrefix="0" xfId="1">
      <alignment vertical="top"/>
    </xf>
    <xf numFmtId="0" fontId="1" fillId="2" borderId="0" pivotButton="0" quotePrefix="0" xfId="0"/>
    <xf numFmtId="3" fontId="1" fillId="2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pang.com/vp/products/1111111?itemId=2222&amp;vendorItemId=3333&amp;q=%EC%A2%85%EC%9D%B4%EC%BB%B5&amp;rank=3" TargetMode="External" Id="rId1" /><Relationship Type="http://schemas.openxmlformats.org/officeDocument/2006/relationships/hyperlink" Target="https://smartstore.naver.com/samplewater/products/4444444?NaPm=ct%3Dabc" TargetMode="External" Id="rId2" /><Relationship Type="http://schemas.openxmlformats.org/officeDocument/2006/relationships/hyperlink" Target="https://www.11st.co.kr/products/555555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0" customWidth="1" min="3" max="3"/>
    <col width="16" customWidth="1" min="4" max="4"/>
    <col width="40" customWidth="1" min="5" max="5"/>
    <col width="7" customWidth="1" min="6" max="6"/>
    <col width="11" customWidth="1" min="7" max="7"/>
    <col width="11" customWidth="1" min="8" max="8"/>
    <col width="40" customWidth="1" min="9" max="9"/>
    <col width="10" customWidth="1" min="10" max="10"/>
    <col width="30" customWidth="1" min="11" max="11"/>
  </cols>
  <sheetData>
    <row r="1">
      <c r="A1" s="1" t="inlineStr">
        <is>
          <t>번호</t>
        </is>
      </c>
      <c r="B1" s="1" t="inlineStr">
        <is>
          <t>요청일시</t>
        </is>
      </c>
      <c r="C1" s="1" t="inlineStr">
        <is>
          <t>요청자</t>
        </is>
      </c>
      <c r="D1" s="1" t="inlineStr">
        <is>
          <t>쇼핑몰</t>
        </is>
      </c>
      <c r="E1" s="1" t="inlineStr">
        <is>
          <t>요청 내용</t>
        </is>
      </c>
      <c r="F1" s="1" t="inlineStr">
        <is>
          <t>수량</t>
        </is>
      </c>
      <c r="G1" s="1" t="inlineStr">
        <is>
          <t>단가(입력)</t>
        </is>
      </c>
      <c r="H1" s="1" t="inlineStr">
        <is>
          <t>금액</t>
        </is>
      </c>
      <c r="I1" s="1" t="inlineStr">
        <is>
          <t>링크</t>
        </is>
      </c>
      <c r="J1" s="1" t="inlineStr">
        <is>
          <t>처리상태</t>
        </is>
      </c>
      <c r="K1" s="1" t="inlineStr">
        <is>
          <t>비고</t>
        </is>
      </c>
    </row>
    <row r="2">
      <c r="A2" s="2" t="n">
        <v>1</v>
      </c>
      <c r="B2" s="2" t="inlineStr">
        <is>
          <t>2026-09-30 10:15</t>
        </is>
      </c>
      <c r="C2" s="2" t="inlineStr">
        <is>
          <t>이*늘</t>
        </is>
      </c>
      <c r="D2" s="2" t="inlineStr">
        <is>
          <t>쿠팡</t>
        </is>
      </c>
      <c r="E2" s="3" t="inlineStr">
        <is>
          <t>종이컵 2박스요 / 저도 종이컵 필요해요 1박스</t>
        </is>
      </c>
      <c r="F2" s="2" t="n">
        <v>3</v>
      </c>
      <c r="G2" s="4" t="n"/>
      <c r="H2" s="5">
        <f>IF(AND(ISNUMBER(F2),ISNUMBER(G2)),F2*G2,"")</f>
        <v/>
      </c>
      <c r="I2" s="6" t="inlineStr">
        <is>
          <t>https://www.coupang.com/vp/products/1111111?itemId=2222&amp;vendorItemId=3333&amp;q=%EC%A2%85%EC%9D%B4%EC%BB%B5&amp;rank=3</t>
        </is>
      </c>
      <c r="J2" s="2" t="inlineStr">
        <is>
          <t>대기</t>
        </is>
      </c>
      <c r="K2" s="3" t="inlineStr">
        <is>
          <t>같은 상품 2명 요청: 이*늘(2개), 최*진(1개)</t>
        </is>
      </c>
    </row>
    <row r="3">
      <c r="A3" s="2" t="n">
        <v>2</v>
      </c>
      <c r="B3" s="2" t="inlineStr">
        <is>
          <t>2026-09-30 11:40</t>
        </is>
      </c>
      <c r="C3" s="2" t="inlineStr">
        <is>
          <t>박*준</t>
        </is>
      </c>
      <c r="D3" s="2" t="inlineStr">
        <is>
          <t>네이버 스마트스토어</t>
        </is>
      </c>
      <c r="E3" s="3" t="inlineStr">
        <is>
          <t>생수 이걸로 부탁드려요</t>
        </is>
      </c>
      <c r="F3" s="2" t="n"/>
      <c r="G3" s="4" t="n"/>
      <c r="H3" s="5">
        <f>IF(AND(ISNUMBER(F3),ISNUMBER(G3)),F3*G3,"")</f>
        <v/>
      </c>
      <c r="I3" s="6" t="inlineStr">
        <is>
          <t>https://smartstore.naver.com/samplewater/products/4444444?NaPm=ct%3Dabc</t>
        </is>
      </c>
      <c r="J3" s="2" t="inlineStr">
        <is>
          <t>대기</t>
        </is>
      </c>
      <c r="K3" s="3" t="inlineStr"/>
    </row>
    <row r="4">
      <c r="A4" s="2" t="n">
        <v>3</v>
      </c>
      <c r="B4" s="2" t="inlineStr">
        <is>
          <t>2026-10-01 15:12</t>
        </is>
      </c>
      <c r="C4" s="2" t="inlineStr">
        <is>
          <t>정*호</t>
        </is>
      </c>
      <c r="D4" s="2" t="inlineStr">
        <is>
          <t>11번가</t>
        </is>
      </c>
      <c r="E4" s="3" t="inlineStr">
        <is>
          <t>현수막은 여기서 주문하면 될 것 같아요 1장이면 됩니다</t>
        </is>
      </c>
      <c r="F4" s="2" t="n">
        <v>1</v>
      </c>
      <c r="G4" s="4" t="n"/>
      <c r="H4" s="5">
        <f>IF(AND(ISNUMBER(F4),ISNUMBER(G4)),F4*G4,"")</f>
        <v/>
      </c>
      <c r="I4" s="6" t="inlineStr">
        <is>
          <t>https://www.11st.co.kr/products/5555555</t>
        </is>
      </c>
      <c r="J4" s="2" t="inlineStr">
        <is>
          <t>대기</t>
        </is>
      </c>
      <c r="K4" s="3" t="inlineStr"/>
    </row>
    <row r="5">
      <c r="A5" s="7" t="inlineStr">
        <is>
          <t>합계</t>
        </is>
      </c>
      <c r="B5" s="7" t="n"/>
      <c r="C5" s="7" t="n"/>
      <c r="D5" s="7" t="n"/>
      <c r="E5" s="7" t="n"/>
      <c r="F5" s="7" t="n"/>
      <c r="G5" s="7" t="n"/>
      <c r="H5" s="8">
        <f>SUM(H2:H4)</f>
        <v/>
      </c>
      <c r="I5" s="7" t="n"/>
      <c r="J5" s="7" t="n"/>
      <c r="K5" s="7" t="n"/>
    </row>
  </sheetData>
  <autoFilter ref="A1:K4"/>
  <dataValidations count="1">
    <dataValidation sqref="J2:J4" showDropDown="0" showInputMessage="0" showErrorMessage="0" allowBlank="1" type="list">
      <formula1>"대기,구매완료,보류,제외"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9" t="inlineStr">
        <is>
          <t>구매 요청 집계 (chat_pc.txt)</t>
        </is>
      </c>
    </row>
    <row r="2">
      <c r="A2" t="inlineStr">
        <is>
          <t>읽은 메시지</t>
        </is>
      </c>
      <c r="B2" t="n">
        <v>10</v>
      </c>
    </row>
    <row r="3">
      <c r="A3" t="inlineStr">
        <is>
          <t>구매 요청(상품 기준)</t>
        </is>
      </c>
      <c r="B3" t="n">
        <v>3</v>
      </c>
    </row>
    <row r="4">
      <c r="A4" t="inlineStr">
        <is>
          <t>중복 요청이 합쳐진 상품</t>
        </is>
      </c>
      <c r="B4" t="n">
        <v>1</v>
      </c>
    </row>
    <row r="5">
      <c r="A5" t="inlineStr">
        <is>
          <t>예상 총액</t>
        </is>
      </c>
      <c r="B5" s="10">
        <f>'구매요청'!H5</f>
        <v/>
      </c>
    </row>
    <row r="7">
      <c r="A7" t="inlineStr">
        <is>
          <t>요청자</t>
        </is>
      </c>
      <c r="B7" t="inlineStr">
        <is>
          <t>건수</t>
        </is>
      </c>
    </row>
    <row r="8">
      <c r="A8" t="inlineStr">
        <is>
          <t>이*늘</t>
        </is>
      </c>
      <c r="B8" t="n">
        <v>1</v>
      </c>
    </row>
    <row r="9">
      <c r="A9" t="inlineStr">
        <is>
          <t>최*진</t>
        </is>
      </c>
      <c r="B9" t="n">
        <v>1</v>
      </c>
    </row>
    <row r="10">
      <c r="A10" t="inlineStr">
        <is>
          <t>박*준</t>
        </is>
      </c>
      <c r="B10" t="n">
        <v>1</v>
      </c>
    </row>
    <row r="11">
      <c r="A11" t="inlineStr">
        <is>
          <t>정*호</t>
        </is>
      </c>
      <c r="B11" t="n">
        <v>1</v>
      </c>
    </row>
    <row r="13">
      <c r="A13" t="inlineStr">
        <is>
          <t>쇼핑몰</t>
        </is>
      </c>
      <c r="B13" t="inlineStr">
        <is>
          <t>건수</t>
        </is>
      </c>
    </row>
    <row r="14">
      <c r="A14" t="inlineStr">
        <is>
          <t>쿠팡</t>
        </is>
      </c>
      <c r="B14" t="n">
        <v>1</v>
      </c>
    </row>
    <row r="15">
      <c r="A15" t="inlineStr">
        <is>
          <t>네이버 스마트스토어</t>
        </is>
      </c>
      <c r="B15" t="n">
        <v>1</v>
      </c>
    </row>
    <row r="16">
      <c r="A16" t="inlineStr">
        <is>
          <t>11번가</t>
        </is>
      </c>
      <c r="B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45" customWidth="1" min="3" max="3"/>
    <col width="50" customWidth="1" min="4" max="4"/>
  </cols>
  <sheetData>
    <row r="1">
      <c r="A1" t="inlineStr">
        <is>
          <t>일시</t>
        </is>
      </c>
      <c r="B1" t="inlineStr">
        <is>
          <t>보낸 사람</t>
        </is>
      </c>
      <c r="C1" t="inlineStr">
        <is>
          <t>링크</t>
        </is>
      </c>
      <c r="D1" t="inlineStr">
        <is>
          <t>메시지</t>
        </is>
      </c>
    </row>
    <row r="2">
      <c r="A2" t="inlineStr">
        <is>
          <t>2026-10-01 14:30</t>
        </is>
      </c>
      <c r="B2" t="inlineStr">
        <is>
          <t>박*준</t>
        </is>
      </c>
      <c r="C2" t="inlineStr">
        <is>
          <t>https://forms.gle/SampleForm123</t>
        </is>
      </c>
      <c r="D2" t="inlineStr">
        <is>
          <t>간담회 설문 링크입니다 https://forms.gle/SampleForm123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2026-10-02T16:08:48Z</dcterms:created>
  <dcterms:modified xsi:type="dcterms:W3CDTF">2026-10-02T16:08:48Z</dcterms:modified>
</cp:coreProperties>
</file>